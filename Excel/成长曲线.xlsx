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930F764-A6F7-42A5-9181-35870EE7FB51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ody" sheetId="1" r:id="rId1"/>
    <sheet name="Guy" sheetId="2" r:id="rId2"/>
    <sheet name="Hagger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2" i="3"/>
  <c r="D3" i="3"/>
  <c r="D4" i="3"/>
  <c r="D5" i="3"/>
  <c r="D6" i="3"/>
  <c r="D2" i="3"/>
  <c r="E3" i="3"/>
  <c r="E4" i="3"/>
  <c r="E5" i="3"/>
  <c r="E6" i="3"/>
  <c r="E2" i="3"/>
  <c r="B3" i="3"/>
  <c r="B4" i="3"/>
  <c r="B5" i="3"/>
  <c r="B6" i="3"/>
  <c r="B2" i="3"/>
  <c r="C3" i="2"/>
  <c r="C4" i="2"/>
  <c r="C5" i="2"/>
  <c r="C6" i="2"/>
  <c r="C2" i="2"/>
  <c r="B3" i="2"/>
  <c r="B4" i="2"/>
  <c r="B5" i="2"/>
  <c r="B6" i="2"/>
  <c r="B2" i="2"/>
  <c r="B3" i="1"/>
  <c r="B4" i="1"/>
  <c r="B5" i="1"/>
  <c r="B6" i="1"/>
  <c r="B2" i="1"/>
  <c r="E6" i="2"/>
  <c r="D6" i="2"/>
  <c r="E5" i="2"/>
  <c r="D5" i="2"/>
  <c r="E4" i="2"/>
  <c r="D4" i="2"/>
  <c r="E3" i="2"/>
  <c r="D3" i="2"/>
  <c r="E2" i="2"/>
  <c r="D2" i="2"/>
  <c r="E3" i="1"/>
  <c r="E4" i="1"/>
  <c r="E5" i="1"/>
  <c r="E6" i="1"/>
  <c r="D3" i="1"/>
  <c r="D4" i="1"/>
  <c r="D5" i="1"/>
  <c r="D6" i="1"/>
  <c r="D2" i="1"/>
  <c r="E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<sst xmlns="http://schemas.openxmlformats.org/spreadsheetml/2006/main" count="15" uniqueCount="5">
  <si>
    <t>Attack</t>
    <phoneticPr fontId="1" type="noConversion"/>
  </si>
  <si>
    <t>HP</t>
    <phoneticPr fontId="1" type="noConversion"/>
  </si>
  <si>
    <t>Level</t>
    <phoneticPr fontId="1" type="noConversion"/>
  </si>
  <si>
    <t>EXP</t>
    <phoneticPr fontId="1" type="noConversion"/>
  </si>
  <si>
    <t>DEFNESE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</si>
</sst>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7634259259259263"/>
          <c:w val="0.89019685039370078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Cody!$B$1</c:f>
              <c:strCache>
                <c:ptCount val="1"/>
                <c:pt idx="0">
                  <c:v>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Cody!$B$2:$B$6</c:f>
              <c:numCache>
                <c:formatCode>General</c:formatCode>
                <c:ptCount val="5"/>
                <c:pt idx="0">
                  <c:v>100</c:v>
                </c:pt>
                <c:pt idx="1">
                  <c:v>160</c:v>
                </c:pt>
                <c:pt idx="2">
                  <c:v>280</c:v>
                </c:pt>
                <c:pt idx="3">
                  <c:v>460</c:v>
                </c:pt>
                <c:pt idx="4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1-4ED4-A98B-C5A6C431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9664352"/>
        <c:axId val="917478864"/>
      </c:lineChart>
      <c:catAx>
        <c:axId val="1009664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478864"/>
        <c:crosses val="autoZero"/>
        <c:auto val="1"/>
        <c:lblAlgn val="ctr"/>
        <c:lblOffset val="100"/>
        <c:noMultiLvlLbl val="0"/>
      </c:catAx>
      <c:valAx>
        <c:axId val="9174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9664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Cody!$C$1</c:f>
              <c:strCache>
                <c:ptCount val="1"/>
                <c:pt idx="0">
                  <c:v>Attack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Cody!$C$2:$C$6</c:f>
              <c:numCache>
                <c:formatCode>General</c:formatCode>
                <c:ptCount val="5"/>
                <c:pt idx="0">
                  <c:v>20</c:v>
                </c:pt>
                <c:pt idx="1">
                  <c:v>24</c:v>
                </c:pt>
                <c:pt idx="2">
                  <c:v>32</c:v>
                </c:pt>
                <c:pt idx="3">
                  <c:v>44</c:v>
                </c:pt>
                <c:pt idx="4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2C-47B5-AA7C-051216987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4022944"/>
        <c:axId val="734350528"/>
      </c:lineChart>
      <c:catAx>
        <c:axId val="924022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350528"/>
        <c:crosses val="autoZero"/>
        <c:auto val="1"/>
        <c:lblAlgn val="ctr"/>
        <c:lblOffset val="100"/>
        <c:noMultiLvlLbl val="0"/>
      </c:catAx>
      <c:valAx>
        <c:axId val="7343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2402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5.2692038495188102E-2"/>
          <c:y val="0.19486111111111112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Cody!$D$1</c:f>
              <c:strCache>
                <c:ptCount val="1"/>
                <c:pt idx="0">
                  <c:v>DEFNESE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Cody!$D$2:$D$6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22</c:v>
                </c:pt>
                <c:pt idx="3">
                  <c:v>34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89-40FD-B567-8D10496AB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0101152"/>
        <c:axId val="734360512"/>
      </c:lineChart>
      <c:catAx>
        <c:axId val="7401011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34360512"/>
        <c:crosses val="autoZero"/>
        <c:auto val="1"/>
        <c:lblAlgn val="ctr"/>
        <c:lblOffset val="100"/>
        <c:noMultiLvlLbl val="0"/>
      </c:catAx>
      <c:valAx>
        <c:axId val="73436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4010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Cody!$E$1</c:f>
              <c:strCache>
                <c:ptCount val="1"/>
                <c:pt idx="0">
                  <c:v>EXP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Cody!$E$2:$E$6</c:f>
              <c:numCache>
                <c:formatCode>General</c:formatCode>
                <c:ptCount val="5"/>
                <c:pt idx="0">
                  <c:v>33</c:v>
                </c:pt>
                <c:pt idx="1">
                  <c:v>53</c:v>
                </c:pt>
                <c:pt idx="2">
                  <c:v>93</c:v>
                </c:pt>
                <c:pt idx="3">
                  <c:v>153</c:v>
                </c:pt>
                <c:pt idx="4">
                  <c:v>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E-409A-B2F4-4C017CACE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4352176"/>
        <c:axId val="914457072"/>
      </c:lineChart>
      <c:catAx>
        <c:axId val="91435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457072"/>
        <c:crosses val="autoZero"/>
        <c:auto val="1"/>
        <c:lblAlgn val="ctr"/>
        <c:lblOffset val="100"/>
        <c:noMultiLvlLbl val="0"/>
      </c:catAx>
      <c:valAx>
        <c:axId val="91445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4352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Guy!$B$1</c:f>
              <c:strCache>
                <c:ptCount val="1"/>
                <c:pt idx="0">
                  <c:v>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Guy!$B$2:$B$6</c:f>
              <c:numCache>
                <c:formatCode>General</c:formatCode>
                <c:ptCount val="5"/>
                <c:pt idx="0">
                  <c:v>100</c:v>
                </c:pt>
                <c:pt idx="1">
                  <c:v>140</c:v>
                </c:pt>
                <c:pt idx="2">
                  <c:v>220</c:v>
                </c:pt>
                <c:pt idx="3">
                  <c:v>340</c:v>
                </c:pt>
                <c:pt idx="4">
                  <c:v>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89-4258-AB17-21F150CEC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7834624"/>
        <c:axId val="1010695168"/>
      </c:lineChart>
      <c:catAx>
        <c:axId val="10178346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0695168"/>
        <c:crosses val="autoZero"/>
        <c:auto val="1"/>
        <c:lblAlgn val="ctr"/>
        <c:lblOffset val="100"/>
        <c:noMultiLvlLbl val="0"/>
      </c:catAx>
      <c:valAx>
        <c:axId val="101069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17834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Guy!$C$1</c:f>
              <c:strCache>
                <c:ptCount val="1"/>
                <c:pt idx="0">
                  <c:v>Attack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Guy!$C$2:$C$6</c:f>
              <c:numCache>
                <c:formatCode>General</c:formatCode>
                <c:ptCount val="5"/>
                <c:pt idx="0">
                  <c:v>15</c:v>
                </c:pt>
                <c:pt idx="1">
                  <c:v>18</c:v>
                </c:pt>
                <c:pt idx="2">
                  <c:v>25</c:v>
                </c:pt>
                <c:pt idx="3">
                  <c:v>35</c:v>
                </c:pt>
                <c:pt idx="4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81-49B5-96D1-D1572D446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5126864"/>
        <c:axId val="1102093664"/>
      </c:lineChart>
      <c:catAx>
        <c:axId val="915126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2093664"/>
        <c:crosses val="autoZero"/>
        <c:auto val="1"/>
        <c:lblAlgn val="ctr"/>
        <c:lblOffset val="100"/>
        <c:noMultiLvlLbl val="0"/>
      </c:catAx>
      <c:valAx>
        <c:axId val="110209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12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Guy!$D$1</c:f>
              <c:strCache>
                <c:ptCount val="1"/>
                <c:pt idx="0">
                  <c:v>DEFNESE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Guy!$D$2:$D$6</c:f>
              <c:numCache>
                <c:formatCode>General</c:formatCode>
                <c:ptCount val="5"/>
                <c:pt idx="0">
                  <c:v>10</c:v>
                </c:pt>
                <c:pt idx="1">
                  <c:v>14</c:v>
                </c:pt>
                <c:pt idx="2">
                  <c:v>22</c:v>
                </c:pt>
                <c:pt idx="3">
                  <c:v>34</c:v>
                </c:pt>
                <c:pt idx="4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9-4D87-8D91-F223C46C4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8346560"/>
        <c:axId val="1102094496"/>
      </c:lineChart>
      <c:catAx>
        <c:axId val="1108346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2094496"/>
        <c:crosses val="autoZero"/>
        <c:auto val="1"/>
        <c:lblAlgn val="ctr"/>
        <c:lblOffset val="100"/>
        <c:noMultiLvlLbl val="0"/>
      </c:catAx>
      <c:valAx>
        <c:axId val="1102094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834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Guy!$E$1</c:f>
              <c:strCache>
                <c:ptCount val="1"/>
                <c:pt idx="0">
                  <c:v>EXP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Guy!$E$2:$E$6</c:f>
              <c:numCache>
                <c:formatCode>General</c:formatCode>
                <c:ptCount val="5"/>
                <c:pt idx="0">
                  <c:v>33</c:v>
                </c:pt>
                <c:pt idx="1">
                  <c:v>53</c:v>
                </c:pt>
                <c:pt idx="2">
                  <c:v>93</c:v>
                </c:pt>
                <c:pt idx="3">
                  <c:v>153</c:v>
                </c:pt>
                <c:pt idx="4">
                  <c:v>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5B-46E4-97DF-A3D2ECA4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575168"/>
        <c:axId val="1275866240"/>
      </c:lineChart>
      <c:catAx>
        <c:axId val="1114575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5866240"/>
        <c:crosses val="autoZero"/>
        <c:auto val="1"/>
        <c:lblAlgn val="ctr"/>
        <c:lblOffset val="100"/>
        <c:noMultiLvlLbl val="0"/>
      </c:catAx>
      <c:valAx>
        <c:axId val="127586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57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Hagger!$B$1</c:f>
              <c:strCache>
                <c:ptCount val="1"/>
                <c:pt idx="0">
                  <c:v>HP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Hagger!$B$2:$B$6</c:f>
              <c:numCache>
                <c:formatCode>General</c:formatCode>
                <c:ptCount val="5"/>
                <c:pt idx="0">
                  <c:v>200</c:v>
                </c:pt>
                <c:pt idx="1">
                  <c:v>280</c:v>
                </c:pt>
                <c:pt idx="2">
                  <c:v>440</c:v>
                </c:pt>
                <c:pt idx="3">
                  <c:v>680</c:v>
                </c:pt>
                <c:pt idx="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53-4B3F-9F97-16861423E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526768"/>
        <c:axId val="1107247344"/>
      </c:lineChart>
      <c:catAx>
        <c:axId val="111452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247344"/>
        <c:crosses val="autoZero"/>
        <c:auto val="1"/>
        <c:lblAlgn val="ctr"/>
        <c:lblOffset val="100"/>
        <c:noMultiLvlLbl val="0"/>
      </c:catAx>
      <c:valAx>
        <c:axId val="110724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52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Hagger!$C$1</c:f>
              <c:strCache>
                <c:ptCount val="1"/>
                <c:pt idx="0">
                  <c:v>Attack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Hagger!$C$2:$C$6</c:f>
              <c:numCache>
                <c:formatCode>General</c:formatCode>
                <c:ptCount val="5"/>
                <c:pt idx="0">
                  <c:v>25</c:v>
                </c:pt>
                <c:pt idx="1">
                  <c:v>30</c:v>
                </c:pt>
                <c:pt idx="2">
                  <c:v>40</c:v>
                </c:pt>
                <c:pt idx="3">
                  <c:v>55</c:v>
                </c:pt>
                <c:pt idx="4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7A-4CF1-8BC9-72CEA4244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571968"/>
        <c:axId val="1102090752"/>
      </c:lineChart>
      <c:catAx>
        <c:axId val="111457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2090752"/>
        <c:crosses val="autoZero"/>
        <c:auto val="1"/>
        <c:lblAlgn val="ctr"/>
        <c:lblOffset val="100"/>
        <c:noMultiLvlLbl val="0"/>
      </c:catAx>
      <c:valAx>
        <c:axId val="110209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57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Hagger!$E$1</c:f>
              <c:strCache>
                <c:ptCount val="1"/>
                <c:pt idx="0">
                  <c:v>EXP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Hagger!$E$2:$E$6</c:f>
              <c:numCache>
                <c:formatCode>General</c:formatCode>
                <c:ptCount val="5"/>
                <c:pt idx="0">
                  <c:v>60</c:v>
                </c:pt>
                <c:pt idx="1">
                  <c:v>90</c:v>
                </c:pt>
                <c:pt idx="2">
                  <c:v>150</c:v>
                </c:pt>
                <c:pt idx="3">
                  <c:v>240</c:v>
                </c:pt>
                <c:pt idx="4">
                  <c:v>360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2-4F73-B71A-F9E683302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4522768"/>
        <c:axId val="1107382016"/>
      </c:lineChart>
      <c:catAx>
        <c:axId val="1114522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382016"/>
        <c:crosses val="autoZero"/>
        <c:auto val="1"/>
        <c:lblAlgn val="ctr"/>
        <c:lblOffset val="100"/>
        <c:noMultiLvlLbl val="0"/>
      </c:catAx>
      <c:valAx>
        <c:axId val="11073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452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Hagger!$D$1</c:f>
              <c:strCache>
                <c:ptCount val="1"/>
                <c:pt idx="0">
                  <c:v>DEFNESE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Hagger!$D$2:$D$6</c:f>
              <c:numCache>
                <c:formatCode>General</c:formatCode>
                <c:ptCount val="5"/>
                <c:pt idx="0">
                  <c:v>15</c:v>
                </c:pt>
                <c:pt idx="1">
                  <c:v>19</c:v>
                </c:pt>
                <c:pt idx="2">
                  <c:v>28</c:v>
                </c:pt>
                <c:pt idx="3">
                  <c:v>41</c:v>
                </c:pt>
                <c:pt idx="4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53-459A-B96F-429E5AE09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873424"/>
        <c:axId val="1107409472"/>
      </c:lineChart>
      <c:catAx>
        <c:axId val="1274873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07409472"/>
        <c:crosses val="autoZero"/>
        <c:auto val="1"/>
        <c:lblAlgn val="ctr"/>
        <c:lblOffset val="100"/>
        <c:noMultiLvlLbl val="0"/>
      </c:catAx>
      <c:valAx>
        <c:axId val="110740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7487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image" Target="../media/image2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image" Target="../media/image3.png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357187</xdr:colOff>
      <xdr:row>6</xdr:row>
      <xdr:rowOff>142875</xdr:rowOff>
    </xdr:from>
    <xdr:to>
      <xdr:col>6</xdr:col>
      <xdr:colOff>509587</xdr:colOff>
      <xdr:row>21</xdr:row>
      <xdr:rowOff>171450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29BE26C-FE47-4647-9C8D-D1A543FA7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661987</xdr:colOff>
      <xdr:row>6</xdr:row>
      <xdr:rowOff>95250</xdr:rowOff>
    </xdr:from>
    <xdr:to>
      <xdr:col>13</xdr:col>
      <xdr:colOff>433387</xdr:colOff>
      <xdr:row>21</xdr:row>
      <xdr:rowOff>123825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9D65507-75AF-44C4-A3E7-2461D0D21C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42862</xdr:colOff>
      <xdr:row>22</xdr:row>
      <xdr:rowOff>171450</xdr:rowOff>
    </xdr:from>
    <xdr:to>
      <xdr:col>13</xdr:col>
      <xdr:colOff>500062</xdr:colOff>
      <xdr:row>38</xdr:row>
      <xdr:rowOff>19050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A962823-9375-47B1-AA7A-EFBF29E0C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42862</xdr:colOff>
      <xdr:row>22</xdr:row>
      <xdr:rowOff>133350</xdr:rowOff>
    </xdr:from>
    <xdr:to>
      <xdr:col>5</xdr:col>
      <xdr:colOff>652462</xdr:colOff>
      <xdr:row>37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977F6F9-91F1-4D5A-9781-4E9B49C5F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104775</xdr:colOff>
      <xdr:row>0</xdr:row>
      <xdr:rowOff>38100</xdr:rowOff>
    </xdr:from>
    <xdr:to>
      <xdr:col>6</xdr:col>
      <xdr:colOff>523875</xdr:colOff>
      <xdr:row>6</xdr:row>
      <xdr:rowOff>57150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E261CD14-6D53-48D8-BF04-B0469979C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38100"/>
          <a:ext cx="1104900" cy="1104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671512</xdr:colOff>
      <xdr:row>6</xdr:row>
      <xdr:rowOff>47625</xdr:rowOff>
    </xdr:from>
    <xdr:to>
      <xdr:col>5</xdr:col>
      <xdr:colOff>595312</xdr:colOff>
      <xdr:row>21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8E87A78-900D-4087-8255-15B18D8B3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42862</xdr:colOff>
      <xdr:row>6</xdr:row>
      <xdr:rowOff>28575</xdr:rowOff>
    </xdr:from>
    <xdr:to>
      <xdr:col>12</xdr:col>
      <xdr:colOff>500062</xdr:colOff>
      <xdr:row>21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6D32728-831A-4ABF-B825-3DD63D272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652462</xdr:colOff>
      <xdr:row>22</xdr:row>
      <xdr:rowOff>114300</xdr:rowOff>
    </xdr:from>
    <xdr:to>
      <xdr:col>5</xdr:col>
      <xdr:colOff>576262</xdr:colOff>
      <xdr:row>37</xdr:row>
      <xdr:rowOff>142875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C94509C-7989-4F76-9F67-E2673F122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90487</xdr:colOff>
      <xdr:row>23</xdr:row>
      <xdr:rowOff>38100</xdr:rowOff>
    </xdr:from>
    <xdr:to>
      <xdr:col>12</xdr:col>
      <xdr:colOff>547687</xdr:colOff>
      <xdr:row>38</xdr:row>
      <xdr:rowOff>66675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C35E04DA-6ADA-48B1-8CCA-AA7D3B431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47625</xdr:colOff>
      <xdr:row>0</xdr:row>
      <xdr:rowOff>9525</xdr:rowOff>
    </xdr:from>
    <xdr:to>
      <xdr:col>6</xdr:col>
      <xdr:colOff>447675</xdr:colOff>
      <xdr:row>6</xdr:row>
      <xdr:rowOff>9525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98195ECF-959D-454C-BFE0-FA21C99B9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5825" y="9525"/>
          <a:ext cx="1085850" cy="1085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500062</xdr:colOff>
      <xdr:row>6</xdr:row>
      <xdr:rowOff>133350</xdr:rowOff>
    </xdr:from>
    <xdr:to>
      <xdr:col>5</xdr:col>
      <xdr:colOff>423862</xdr:colOff>
      <xdr:row>21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FA8B7F36-8E4C-4612-AD56-9D17D54F5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23812</xdr:colOff>
      <xdr:row>6</xdr:row>
      <xdr:rowOff>142875</xdr:rowOff>
    </xdr:from>
    <xdr:to>
      <xdr:col>12</xdr:col>
      <xdr:colOff>481012</xdr:colOff>
      <xdr:row>21</xdr:row>
      <xdr:rowOff>171450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FF6A7B2B-9BB6-41B6-98EE-F105A53E7F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33337</xdr:colOff>
      <xdr:row>23</xdr:row>
      <xdr:rowOff>142875</xdr:rowOff>
    </xdr:from>
    <xdr:to>
      <xdr:col>12</xdr:col>
      <xdr:colOff>490537</xdr:colOff>
      <xdr:row>38</xdr:row>
      <xdr:rowOff>171450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EB905B4-7A68-46E4-B2C6-F15FCA105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519112</xdr:colOff>
      <xdr:row>23</xdr:row>
      <xdr:rowOff>104775</xdr:rowOff>
    </xdr:from>
    <xdr:to>
      <xdr:col>5</xdr:col>
      <xdr:colOff>442912</xdr:colOff>
      <xdr:row>38</xdr:row>
      <xdr:rowOff>133350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D0469386-521F-4C52-A0E3-B0867A2E1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9524</xdr:colOff>
      <xdr:row>0</xdr:row>
      <xdr:rowOff>19050</xdr:rowOff>
    </xdr:from>
    <xdr:to>
      <xdr:col>6</xdr:col>
      <xdr:colOff>419099</xdr:colOff>
      <xdr:row>6</xdr:row>
      <xdr:rowOff>28574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8A2BBBA0-44B3-46F1-8383-AB71E3274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7724" y="19050"/>
          <a:ext cx="1095375" cy="1095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C2" sqref="C2"/>
    </sheetView>
  </sheetViews>
  <sheetFormatPr defaultRowHeight="14.25" x14ac:dyDescent="0.2"/>
  <cols>
    <col min="2" max="5" width="13" customWidth="1"/>
  </cols>
  <sheetData>
    <row r="1" spans="1:5" x14ac:dyDescent="0.2">
      <c r="A1" t="s">
        <v>2</v>
      </c>
      <c r="B1" t="s">
        <v>1</v>
      </c>
      <c r="C1" t="s">
        <v>0</v>
      </c>
      <c r="D1" t="s">
        <v>4</v>
      </c>
      <c r="E1" t="s">
        <v>3</v>
      </c>
    </row>
    <row r="2" spans="1:5" x14ac:dyDescent="0.2">
      <c r="A2">
        <v>1</v>
      </c>
      <c r="B2">
        <f>30*(A2 * A2) - 30*A2  + 100</f>
        <v>100</v>
      </c>
      <c r="C2">
        <f>2*(A2 * A2) - 2*A2  + 20</f>
        <v>20</v>
      </c>
      <c r="D2">
        <f>2*(A2 * A2) - 2*A2  + 10</f>
        <v>10</v>
      </c>
      <c r="E2">
        <f>10*(A2 * A2) - 10*A2  + 33</f>
        <v>33</v>
      </c>
    </row>
    <row r="3" spans="1:5" x14ac:dyDescent="0.2">
      <c r="A3">
        <v>2</v>
      </c>
      <c r="B3">
        <f t="shared" ref="B3:B6" si="0">30*(A3 * A3) - 30*A3  + 100</f>
        <v>160</v>
      </c>
      <c r="C3">
        <f t="shared" ref="C3:D6" si="1">2*(A3 * A3) - 2*A3  + 20</f>
        <v>24</v>
      </c>
      <c r="D3">
        <f t="shared" ref="D3:D6" si="2">2*(A3 * A3) - 2*A3  + 10</f>
        <v>14</v>
      </c>
      <c r="E3">
        <f t="shared" ref="E3:E6" si="3">10*(A3 * A3) - 10*A3  + 33</f>
        <v>53</v>
      </c>
    </row>
    <row r="4" spans="1:5" x14ac:dyDescent="0.2">
      <c r="A4">
        <v>3</v>
      </c>
      <c r="B4">
        <f t="shared" si="0"/>
        <v>280</v>
      </c>
      <c r="C4">
        <f t="shared" si="1"/>
        <v>32</v>
      </c>
      <c r="D4">
        <f t="shared" si="2"/>
        <v>22</v>
      </c>
      <c r="E4">
        <f t="shared" si="3"/>
        <v>93</v>
      </c>
    </row>
    <row r="5" spans="1:5" x14ac:dyDescent="0.2">
      <c r="A5">
        <v>4</v>
      </c>
      <c r="B5">
        <f t="shared" si="0"/>
        <v>460</v>
      </c>
      <c r="C5">
        <f t="shared" si="1"/>
        <v>44</v>
      </c>
      <c r="D5">
        <f t="shared" si="2"/>
        <v>34</v>
      </c>
      <c r="E5">
        <f t="shared" si="3"/>
        <v>153</v>
      </c>
    </row>
    <row r="6" spans="1:5" x14ac:dyDescent="0.2">
      <c r="A6">
        <v>5</v>
      </c>
      <c r="B6">
        <f t="shared" si="0"/>
        <v>700</v>
      </c>
      <c r="C6">
        <f t="shared" si="1"/>
        <v>60</v>
      </c>
      <c r="D6">
        <f t="shared" si="2"/>
        <v>50</v>
      </c>
      <c r="E6">
        <f t="shared" si="3"/>
        <v>233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A854-6B16-4C3D-941C-728DB3218B74}">
  <dimension ref="A1:E6"/>
  <sheetViews>
    <sheetView workbookViewId="0">
      <selection activeCell="C2" sqref="C2"/>
    </sheetView>
  </sheetViews>
  <sheetFormatPr defaultRowHeight="14.25" x14ac:dyDescent="0.2"/>
  <cols>
    <col min="2" max="5" width="13" customWidth="1"/>
  </cols>
  <sheetData>
    <row r="1" spans="1:5" x14ac:dyDescent="0.2">
      <c r="A1" t="s">
        <v>2</v>
      </c>
      <c r="B1" t="s">
        <v>1</v>
      </c>
      <c r="C1" t="s">
        <v>0</v>
      </c>
      <c r="D1" t="s">
        <v>4</v>
      </c>
      <c r="E1" t="s">
        <v>3</v>
      </c>
    </row>
    <row r="2" spans="1:5" x14ac:dyDescent="0.2">
      <c r="A2">
        <v>1</v>
      </c>
      <c r="B2">
        <f>20*(A2 * A2) - 20*A2  + 100</f>
        <v>100</v>
      </c>
      <c r="C2">
        <f>_xlfn.FLOOR.MATH(1.7*(A2 * A2) - 1.7*A2  + 15)</f>
        <v>15</v>
      </c>
      <c r="D2">
        <f>2*(A2 * A2) - 2*A2  + 10</f>
        <v>10</v>
      </c>
      <c r="E2">
        <f>10*(A2 * A2) - 10*A2  + 33</f>
        <v>33</v>
      </c>
    </row>
    <row r="3" spans="1:5" x14ac:dyDescent="0.2">
      <c r="A3">
        <v>2</v>
      </c>
      <c r="B3">
        <f t="shared" ref="B3:B6" si="0">20*(A3 * A3) - 20*A3  + 100</f>
        <v>140</v>
      </c>
      <c r="C3">
        <f t="shared" ref="C3:C6" si="1">_xlfn.FLOOR.MATH(1.7*(A3 * A3) - 1.7*A3  + 15)</f>
        <v>18</v>
      </c>
      <c r="D3">
        <f t="shared" ref="D3:D6" si="2">2*(A3 * A3) - 2*A3  + 10</f>
        <v>14</v>
      </c>
      <c r="E3">
        <f t="shared" ref="E3:E6" si="3">10*(A3 * A3) - 10*A3  + 33</f>
        <v>53</v>
      </c>
    </row>
    <row r="4" spans="1:5" x14ac:dyDescent="0.2">
      <c r="A4">
        <v>3</v>
      </c>
      <c r="B4">
        <f t="shared" si="0"/>
        <v>220</v>
      </c>
      <c r="C4">
        <f t="shared" si="1"/>
        <v>25</v>
      </c>
      <c r="D4">
        <f t="shared" si="2"/>
        <v>22</v>
      </c>
      <c r="E4">
        <f t="shared" si="3"/>
        <v>93</v>
      </c>
    </row>
    <row r="5" spans="1:5" x14ac:dyDescent="0.2">
      <c r="A5">
        <v>4</v>
      </c>
      <c r="B5">
        <f t="shared" si="0"/>
        <v>340</v>
      </c>
      <c r="C5">
        <f t="shared" si="1"/>
        <v>35</v>
      </c>
      <c r="D5">
        <f t="shared" si="2"/>
        <v>34</v>
      </c>
      <c r="E5">
        <f t="shared" si="3"/>
        <v>153</v>
      </c>
    </row>
    <row r="6" spans="1:5" x14ac:dyDescent="0.2">
      <c r="A6">
        <v>5</v>
      </c>
      <c r="B6">
        <f t="shared" si="0"/>
        <v>500</v>
      </c>
      <c r="C6">
        <f t="shared" si="1"/>
        <v>49</v>
      </c>
      <c r="D6">
        <f t="shared" si="2"/>
        <v>50</v>
      </c>
      <c r="E6">
        <f t="shared" si="3"/>
        <v>233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1F7F7-2AC3-481D-A4BF-66E2DFD65753}">
  <dimension ref="A1:E6"/>
  <sheetViews>
    <sheetView tabSelected="1" workbookViewId="0">
      <selection activeCell="P16" sqref="P16"/>
    </sheetView>
  </sheetViews>
  <sheetFormatPr defaultRowHeight="14.25" x14ac:dyDescent="0.2"/>
  <cols>
    <col min="2" max="5" width="13" customWidth="1"/>
  </cols>
  <sheetData>
    <row r="1" spans="1:5" x14ac:dyDescent="0.2">
      <c r="A1" t="s">
        <v>2</v>
      </c>
      <c r="B1" t="s">
        <v>1</v>
      </c>
      <c r="C1" t="s">
        <v>0</v>
      </c>
      <c r="D1" t="s">
        <v>4</v>
      </c>
      <c r="E1" t="s">
        <v>3</v>
      </c>
    </row>
    <row r="2" spans="1:5" x14ac:dyDescent="0.2">
      <c r="A2">
        <v>1</v>
      </c>
      <c r="B2">
        <f>40*(A2 * A2) -40*A2  + 200</f>
        <v>200</v>
      </c>
      <c r="C2">
        <f>_xlfn.FLOOR.MATH(2.5*(A2 * A2) - 2.5*A2  + 25)</f>
        <v>25</v>
      </c>
      <c r="D2">
        <f>_xlfn.FLOOR.MATH(2.2*(A2 * A2) -2.2*A2  + 15)</f>
        <v>15</v>
      </c>
      <c r="E2">
        <f>15*(A2 * A2) - 15*A2  + 60</f>
        <v>60</v>
      </c>
    </row>
    <row r="3" spans="1:5" x14ac:dyDescent="0.2">
      <c r="A3">
        <v>2</v>
      </c>
      <c r="B3">
        <f t="shared" ref="B3:B6" si="0">40*(A3 * A3) -40*A3  + 200</f>
        <v>280</v>
      </c>
      <c r="C3">
        <f t="shared" ref="C3:C6" si="1">_xlfn.FLOOR.MATH(2.5*(A3 * A3) - 2.5*A3  + 25)</f>
        <v>30</v>
      </c>
      <c r="D3">
        <f t="shared" ref="D3:D6" si="2">_xlfn.FLOOR.MATH(2.2*(A3 * A3) -2.2*A3  + 15)</f>
        <v>19</v>
      </c>
      <c r="E3">
        <f t="shared" ref="E3:E6" si="3">15*(A3 * A3) - 15*A3  + 60</f>
        <v>90</v>
      </c>
    </row>
    <row r="4" spans="1:5" x14ac:dyDescent="0.2">
      <c r="A4">
        <v>3</v>
      </c>
      <c r="B4">
        <f t="shared" si="0"/>
        <v>440</v>
      </c>
      <c r="C4">
        <f t="shared" si="1"/>
        <v>40</v>
      </c>
      <c r="D4">
        <f t="shared" si="2"/>
        <v>28</v>
      </c>
      <c r="E4">
        <f t="shared" si="3"/>
        <v>150</v>
      </c>
    </row>
    <row r="5" spans="1:5" x14ac:dyDescent="0.2">
      <c r="A5">
        <v>4</v>
      </c>
      <c r="B5">
        <f t="shared" si="0"/>
        <v>680</v>
      </c>
      <c r="C5">
        <f t="shared" si="1"/>
        <v>55</v>
      </c>
      <c r="D5">
        <f t="shared" si="2"/>
        <v>41</v>
      </c>
      <c r="E5">
        <f t="shared" si="3"/>
        <v>240</v>
      </c>
    </row>
    <row r="6" spans="1:5" x14ac:dyDescent="0.2">
      <c r="A6">
        <v>5</v>
      </c>
      <c r="B6">
        <f t="shared" si="0"/>
        <v>1000</v>
      </c>
      <c r="C6">
        <f t="shared" si="1"/>
        <v>75</v>
      </c>
      <c r="D6">
        <f t="shared" si="2"/>
        <v>59</v>
      </c>
      <c r="E6">
        <f t="shared" si="3"/>
        <v>360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Cody</vt:lpstr>
      <vt:lpstr>Guy</vt:lpstr>
      <vt:lpstr>Hagger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2021-08-16T08:56:25Z</dcterms:modified>
</cp:coreProperties>
</file>