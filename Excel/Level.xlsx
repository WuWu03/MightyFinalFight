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42421\Desktop\Excel\"/>
    </mc:Choice>
  </mc:AlternateContent>
  <xr:revisionPtr revIDLastSave="0" documentId="13_ncr:1_{4165AE57-6FF4-4738-9E04-A69B2ED6E62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6" i="1" l="1"/>
  <c r="H17" i="1"/>
  <c r="H18" i="1"/>
  <c r="H19" i="1"/>
  <c r="H15" i="1"/>
  <c r="G16" i="1"/>
  <c r="G17" i="1"/>
  <c r="G18" i="1"/>
  <c r="G19" i="1"/>
  <c r="G15" i="1"/>
  <c r="F15" i="1"/>
  <c r="F16" i="1"/>
  <c r="F17" i="1"/>
  <c r="F18" i="1"/>
  <c r="F19" i="1"/>
  <c r="E16" i="1"/>
  <c r="E17" i="1"/>
  <c r="E18" i="1"/>
  <c r="E19" i="1"/>
  <c r="E15" i="1"/>
  <c r="H11" i="1"/>
  <c r="H12" i="1"/>
  <c r="H13" i="1"/>
  <c r="H14" i="1"/>
  <c r="H10" i="1"/>
  <c r="G11" i="1"/>
  <c r="G12" i="1"/>
  <c r="G13" i="1"/>
  <c r="G14" i="1"/>
  <c r="G10" i="1"/>
  <c r="F11" i="1"/>
  <c r="F12" i="1"/>
  <c r="F13" i="1"/>
  <c r="F14" i="1"/>
  <c r="F10" i="1"/>
  <c r="E11" i="1"/>
  <c r="E12" i="1"/>
  <c r="E13" i="1"/>
  <c r="E14" i="1"/>
  <c r="E10" i="1"/>
  <c r="H6" i="1"/>
  <c r="H7" i="1"/>
  <c r="H8" i="1"/>
  <c r="H9" i="1"/>
  <c r="H5" i="1"/>
  <c r="G6" i="1"/>
  <c r="G7" i="1"/>
  <c r="G8" i="1"/>
  <c r="G9" i="1"/>
  <c r="G5" i="1"/>
  <c r="F7" i="1"/>
  <c r="F9" i="1"/>
  <c r="F5" i="1"/>
  <c r="E6" i="1"/>
  <c r="E7" i="1"/>
  <c r="E8" i="1"/>
  <c r="E9" i="1"/>
  <c r="E5" i="1"/>
</calcChain>
</file>

<file path=xl/sharedStrings.xml><?xml version="1.0" encoding="utf-8"?>
<sst xmlns="http://schemas.openxmlformats.org/spreadsheetml/2006/main" count="53" uniqueCount="34">
  <si>
    <t>SheetName</t>
    <phoneticPr fontId="1" type="noConversion"/>
  </si>
  <si>
    <t>Level</t>
    <phoneticPr fontId="1" type="noConversion"/>
  </si>
  <si>
    <t>id</t>
    <phoneticPr fontId="1" type="noConversion"/>
  </si>
  <si>
    <t>level</t>
    <phoneticPr fontId="1" type="noConversion"/>
  </si>
  <si>
    <t>attackSpeed</t>
    <phoneticPr fontId="1" type="noConversion"/>
  </si>
  <si>
    <t>attackValue</t>
    <phoneticPr fontId="1" type="noConversion"/>
  </si>
  <si>
    <t>defenseValue</t>
    <phoneticPr fontId="1" type="noConversion"/>
  </si>
  <si>
    <t>criticalValue</t>
    <phoneticPr fontId="1" type="noConversion"/>
  </si>
  <si>
    <t>moveSpeed</t>
    <phoneticPr fontId="1" type="noConversion"/>
  </si>
  <si>
    <t>jumpForce</t>
    <phoneticPr fontId="1" type="noConversion"/>
  </si>
  <si>
    <t>hpBarWidth</t>
    <phoneticPr fontId="1" type="noConversion"/>
  </si>
  <si>
    <t>exp</t>
    <phoneticPr fontId="1" type="noConversion"/>
  </si>
  <si>
    <t>int</t>
  </si>
  <si>
    <t>int</t>
    <phoneticPr fontId="1" type="noConversion"/>
  </si>
  <si>
    <t>float</t>
    <phoneticPr fontId="1" type="noConversion"/>
  </si>
  <si>
    <t>vector2</t>
    <phoneticPr fontId="1" type="noConversion"/>
  </si>
  <si>
    <t>编号</t>
    <phoneticPr fontId="1" type="noConversion"/>
  </si>
  <si>
    <t>等级</t>
    <phoneticPr fontId="1" type="noConversion"/>
  </si>
  <si>
    <t>攻速</t>
    <phoneticPr fontId="1" type="noConversion"/>
  </si>
  <si>
    <t>攻击力</t>
    <phoneticPr fontId="1" type="noConversion"/>
  </si>
  <si>
    <t>防御力</t>
    <phoneticPr fontId="1" type="noConversion"/>
  </si>
  <si>
    <t>暴击率</t>
    <phoneticPr fontId="1" type="noConversion"/>
  </si>
  <si>
    <t>移动速度</t>
    <phoneticPr fontId="1" type="noConversion"/>
  </si>
  <si>
    <t>跳跃力</t>
    <phoneticPr fontId="1" type="noConversion"/>
  </si>
  <si>
    <t>生命</t>
    <phoneticPr fontId="1" type="noConversion"/>
  </si>
  <si>
    <t>血条长度</t>
    <phoneticPr fontId="1" type="noConversion"/>
  </si>
  <si>
    <t>升级经验</t>
    <phoneticPr fontId="1" type="noConversion"/>
  </si>
  <si>
    <t>roleId</t>
    <phoneticPr fontId="1" type="noConversion"/>
  </si>
  <si>
    <t>角色id</t>
    <phoneticPr fontId="1" type="noConversion"/>
  </si>
  <si>
    <t>40,140</t>
    <phoneticPr fontId="1" type="noConversion"/>
  </si>
  <si>
    <t>40,150</t>
  </si>
  <si>
    <t>40,150</t>
    <phoneticPr fontId="1" type="noConversion"/>
  </si>
  <si>
    <t>25,150</t>
    <phoneticPr fontId="1" type="noConversion"/>
  </si>
  <si>
    <t>hpValue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</si>
</sst>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D23" sqref="D23"/>
    </sheetView>
  </sheetViews>
  <sheetFormatPr defaultRowHeight="14.25" x14ac:dyDescent="0.2"/>
  <cols>
    <col min="1" max="1" width="13.875" style="1" customWidth="1"/>
    <col min="2" max="2" width="9" style="1"/>
    <col min="3" max="4" width="14.625" style="1" customWidth="1"/>
    <col min="5" max="5" width="15.25" style="1" customWidth="1"/>
    <col min="6" max="6" width="16.375" style="1" customWidth="1"/>
    <col min="7" max="7" width="17.375" style="1" customWidth="1"/>
    <col min="8" max="8" width="22.25" style="1" customWidth="1"/>
    <col min="9" max="9" width="17.375" style="1" customWidth="1"/>
    <col min="10" max="10" width="18.75" style="1" customWidth="1"/>
    <col min="11" max="11" width="25.875" style="1" customWidth="1"/>
    <col min="12" max="12" width="20.75" style="1" customWidth="1"/>
    <col min="13" max="13" width="16.125" style="1" customWidth="1"/>
    <col min="14" max="16384" width="9" style="1"/>
  </cols>
  <sheetData>
    <row r="1" spans="1:13" x14ac:dyDescent="0.2">
      <c r="A1" s="1" t="s">
        <v>0</v>
      </c>
      <c r="B1" s="1" t="s">
        <v>2</v>
      </c>
      <c r="C1" s="1" t="s">
        <v>27</v>
      </c>
      <c r="D1" s="1" t="s">
        <v>3</v>
      </c>
      <c r="E1" s="1" t="s">
        <v>33</v>
      </c>
      <c r="F1" s="1" t="s">
        <v>5</v>
      </c>
      <c r="G1" s="1" t="s">
        <v>6</v>
      </c>
      <c r="H1" s="1" t="s">
        <v>11</v>
      </c>
      <c r="I1" s="1" t="s">
        <v>4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">
      <c r="A2" s="1" t="s">
        <v>1</v>
      </c>
      <c r="B2" s="1" t="s">
        <v>13</v>
      </c>
      <c r="C2" s="1" t="s">
        <v>13</v>
      </c>
      <c r="D2" s="1" t="s">
        <v>13</v>
      </c>
      <c r="E2" s="1" t="s">
        <v>13</v>
      </c>
      <c r="F2" s="1" t="s">
        <v>12</v>
      </c>
      <c r="G2" s="1" t="s">
        <v>12</v>
      </c>
      <c r="H2" s="1" t="s">
        <v>13</v>
      </c>
      <c r="I2" s="1" t="s">
        <v>14</v>
      </c>
      <c r="J2" s="1" t="s">
        <v>12</v>
      </c>
      <c r="K2" s="1" t="s">
        <v>14</v>
      </c>
      <c r="L2" s="1" t="s">
        <v>15</v>
      </c>
      <c r="M2" s="1" t="s">
        <v>14</v>
      </c>
    </row>
    <row r="3" spans="1:13" x14ac:dyDescent="0.2">
      <c r="B3" s="1" t="s">
        <v>16</v>
      </c>
      <c r="C3" s="1" t="s">
        <v>28</v>
      </c>
      <c r="D3" s="1" t="s">
        <v>17</v>
      </c>
      <c r="E3" s="1" t="s">
        <v>24</v>
      </c>
      <c r="F3" s="1" t="s">
        <v>19</v>
      </c>
      <c r="G3" s="1" t="s">
        <v>20</v>
      </c>
      <c r="H3" s="1" t="s">
        <v>26</v>
      </c>
      <c r="I3" s="1" t="s">
        <v>18</v>
      </c>
      <c r="J3" s="1" t="s">
        <v>21</v>
      </c>
      <c r="K3" s="1" t="s">
        <v>22</v>
      </c>
      <c r="L3" s="1" t="s">
        <v>23</v>
      </c>
      <c r="M3" s="1" t="s">
        <v>25</v>
      </c>
    </row>
    <row r="5" spans="1:13" x14ac:dyDescent="0.2">
      <c r="B5" s="1">
        <v>1</v>
      </c>
      <c r="C5" s="1">
        <v>1001</v>
      </c>
      <c r="D5" s="1">
        <v>1</v>
      </c>
      <c r="E5" s="1">
        <f>30*D5*(D5-1)+100</f>
        <v>100</v>
      </c>
      <c r="F5" s="1">
        <f>2*D5*(D5-1)+20</f>
        <v>20</v>
      </c>
      <c r="G5" s="1">
        <f>2*D5*(D5-1)+10</f>
        <v>10</v>
      </c>
      <c r="H5" s="1">
        <f>10*D5*(D5-1)+33</f>
        <v>33</v>
      </c>
      <c r="I5" s="1">
        <v>1</v>
      </c>
      <c r="J5" s="1">
        <v>30</v>
      </c>
      <c r="K5" s="1">
        <v>0.7</v>
      </c>
      <c r="L5" s="2" t="s">
        <v>29</v>
      </c>
      <c r="M5" s="1">
        <v>200</v>
      </c>
    </row>
    <row r="6" spans="1:13" x14ac:dyDescent="0.2">
      <c r="B6" s="1">
        <v>2</v>
      </c>
      <c r="C6" s="1">
        <v>1001</v>
      </c>
      <c r="D6" s="1">
        <v>2</v>
      </c>
      <c r="E6" s="1">
        <f t="shared" ref="E6:E9" si="0">30*D6*(D6-1)+100</f>
        <v>160</v>
      </c>
      <c r="F6" s="1">
        <v>24</v>
      </c>
      <c r="G6" s="1">
        <f t="shared" ref="G6:G9" si="1">2*D6*(D6-1)+10</f>
        <v>14</v>
      </c>
      <c r="H6" s="1">
        <f t="shared" ref="H6:H9" si="2">10*D6*(D6-1)+33</f>
        <v>53</v>
      </c>
      <c r="I6" s="1">
        <v>1</v>
      </c>
      <c r="J6" s="1">
        <v>30</v>
      </c>
      <c r="K6" s="1">
        <v>0.7</v>
      </c>
      <c r="L6" s="2" t="s">
        <v>29</v>
      </c>
      <c r="M6" s="1">
        <v>250</v>
      </c>
    </row>
    <row r="7" spans="1:13" x14ac:dyDescent="0.2">
      <c r="B7" s="1">
        <v>3</v>
      </c>
      <c r="C7" s="1">
        <v>1001</v>
      </c>
      <c r="D7" s="1">
        <v>3</v>
      </c>
      <c r="E7" s="1">
        <f t="shared" si="0"/>
        <v>280</v>
      </c>
      <c r="F7" s="1">
        <f t="shared" ref="F7" si="3">2*D7*(D7-1)+20</f>
        <v>32</v>
      </c>
      <c r="G7" s="1">
        <f t="shared" si="1"/>
        <v>22</v>
      </c>
      <c r="H7" s="1">
        <f t="shared" si="2"/>
        <v>93</v>
      </c>
      <c r="I7" s="1">
        <v>1</v>
      </c>
      <c r="J7" s="1">
        <v>30</v>
      </c>
      <c r="K7" s="1">
        <v>0.7</v>
      </c>
      <c r="L7" s="2" t="s">
        <v>29</v>
      </c>
      <c r="M7" s="1">
        <v>350</v>
      </c>
    </row>
    <row r="8" spans="1:13" x14ac:dyDescent="0.2">
      <c r="B8" s="1">
        <v>4</v>
      </c>
      <c r="C8" s="1">
        <v>1001</v>
      </c>
      <c r="D8" s="1">
        <v>4</v>
      </c>
      <c r="E8" s="1">
        <f t="shared" si="0"/>
        <v>460</v>
      </c>
      <c r="F8" s="1">
        <v>25</v>
      </c>
      <c r="G8" s="1">
        <f t="shared" si="1"/>
        <v>34</v>
      </c>
      <c r="H8" s="1">
        <f t="shared" si="2"/>
        <v>153</v>
      </c>
      <c r="I8" s="1">
        <v>1</v>
      </c>
      <c r="J8" s="1">
        <v>30</v>
      </c>
      <c r="K8" s="1">
        <v>0.7</v>
      </c>
      <c r="L8" s="2" t="s">
        <v>29</v>
      </c>
      <c r="M8" s="1">
        <v>500</v>
      </c>
    </row>
    <row r="9" spans="1:13" x14ac:dyDescent="0.2">
      <c r="B9" s="1">
        <v>5</v>
      </c>
      <c r="C9" s="1">
        <v>1001</v>
      </c>
      <c r="D9" s="1">
        <v>5</v>
      </c>
      <c r="E9" s="1">
        <f t="shared" si="0"/>
        <v>700</v>
      </c>
      <c r="F9" s="1">
        <f t="shared" ref="F9" si="4">2*D9*(D9-1)+20</f>
        <v>60</v>
      </c>
      <c r="G9" s="1">
        <f t="shared" si="1"/>
        <v>50</v>
      </c>
      <c r="H9" s="1">
        <f t="shared" si="2"/>
        <v>233</v>
      </c>
      <c r="I9" s="1">
        <v>1</v>
      </c>
      <c r="J9" s="1">
        <v>30</v>
      </c>
      <c r="K9" s="1">
        <v>0.7</v>
      </c>
      <c r="L9" s="2" t="s">
        <v>29</v>
      </c>
      <c r="M9" s="1">
        <v>800</v>
      </c>
    </row>
    <row r="10" spans="1:13" x14ac:dyDescent="0.2">
      <c r="B10" s="1">
        <v>6</v>
      </c>
      <c r="C10" s="1">
        <v>1002</v>
      </c>
      <c r="D10" s="1">
        <v>1</v>
      </c>
      <c r="E10" s="1">
        <f>20*D5*(D5-1)+100</f>
        <v>100</v>
      </c>
      <c r="F10" s="1">
        <f>_xlfn.FLOOR.MATH(1.7*D5*(D5-1)+15)</f>
        <v>15</v>
      </c>
      <c r="G10" s="1">
        <f>2*D5*(D5-1)+10</f>
        <v>10</v>
      </c>
      <c r="H10" s="1">
        <f>10*D5*(D5-1)+33</f>
        <v>33</v>
      </c>
      <c r="I10" s="1">
        <v>1</v>
      </c>
      <c r="J10" s="1">
        <v>55</v>
      </c>
      <c r="K10" s="1">
        <v>1</v>
      </c>
      <c r="L10" s="2" t="s">
        <v>31</v>
      </c>
      <c r="M10" s="1">
        <v>200</v>
      </c>
    </row>
    <row r="11" spans="1:13" x14ac:dyDescent="0.2">
      <c r="B11" s="1">
        <v>7</v>
      </c>
      <c r="C11" s="1">
        <v>1002</v>
      </c>
      <c r="D11" s="1">
        <v>2</v>
      </c>
      <c r="E11" s="1">
        <f t="shared" ref="E11:E14" si="5">20*D6*(D6-1)+100</f>
        <v>140</v>
      </c>
      <c r="F11" s="1">
        <f t="shared" ref="F11:F14" si="6">_xlfn.FLOOR.MATH(1.7*D6*(D6-1)+15)</f>
        <v>18</v>
      </c>
      <c r="G11" s="1">
        <f t="shared" ref="G11:G14" si="7">2*D6*(D6-1)+10</f>
        <v>14</v>
      </c>
      <c r="H11" s="1">
        <f t="shared" ref="H11:H14" si="8">10*D6*(D6-1)+33</f>
        <v>53</v>
      </c>
      <c r="I11" s="1">
        <v>1</v>
      </c>
      <c r="J11" s="1">
        <v>55</v>
      </c>
      <c r="K11" s="1">
        <v>1</v>
      </c>
      <c r="L11" s="2" t="s">
        <v>31</v>
      </c>
      <c r="M11" s="1">
        <v>250</v>
      </c>
    </row>
    <row r="12" spans="1:13" x14ac:dyDescent="0.2">
      <c r="B12" s="1">
        <v>8</v>
      </c>
      <c r="C12" s="1">
        <v>1002</v>
      </c>
      <c r="D12" s="1">
        <v>3</v>
      </c>
      <c r="E12" s="1">
        <f t="shared" si="5"/>
        <v>220</v>
      </c>
      <c r="F12" s="1">
        <f t="shared" si="6"/>
        <v>25</v>
      </c>
      <c r="G12" s="1">
        <f t="shared" si="7"/>
        <v>22</v>
      </c>
      <c r="H12" s="1">
        <f t="shared" si="8"/>
        <v>93</v>
      </c>
      <c r="I12" s="1">
        <v>1</v>
      </c>
      <c r="J12" s="1">
        <v>55</v>
      </c>
      <c r="K12" s="1">
        <v>1</v>
      </c>
      <c r="L12" s="2" t="s">
        <v>30</v>
      </c>
      <c r="M12" s="1">
        <v>300</v>
      </c>
    </row>
    <row r="13" spans="1:13" x14ac:dyDescent="0.2">
      <c r="B13" s="1">
        <v>9</v>
      </c>
      <c r="C13" s="1">
        <v>1002</v>
      </c>
      <c r="D13" s="1">
        <v>4</v>
      </c>
      <c r="E13" s="1">
        <f t="shared" si="5"/>
        <v>340</v>
      </c>
      <c r="F13" s="1">
        <f t="shared" si="6"/>
        <v>35</v>
      </c>
      <c r="G13" s="1">
        <f t="shared" si="7"/>
        <v>34</v>
      </c>
      <c r="H13" s="1">
        <f t="shared" si="8"/>
        <v>153</v>
      </c>
      <c r="I13" s="1">
        <v>1</v>
      </c>
      <c r="J13" s="1">
        <v>55</v>
      </c>
      <c r="K13" s="1">
        <v>1</v>
      </c>
      <c r="L13" s="2" t="s">
        <v>30</v>
      </c>
      <c r="M13" s="1">
        <v>400</v>
      </c>
    </row>
    <row r="14" spans="1:13" x14ac:dyDescent="0.2">
      <c r="B14" s="1">
        <v>10</v>
      </c>
      <c r="C14" s="1">
        <v>1002</v>
      </c>
      <c r="D14" s="1">
        <v>5</v>
      </c>
      <c r="E14" s="1">
        <f t="shared" si="5"/>
        <v>500</v>
      </c>
      <c r="F14" s="1">
        <f t="shared" si="6"/>
        <v>49</v>
      </c>
      <c r="G14" s="1">
        <f t="shared" si="7"/>
        <v>50</v>
      </c>
      <c r="H14" s="1">
        <f t="shared" si="8"/>
        <v>233</v>
      </c>
      <c r="I14" s="1">
        <v>1</v>
      </c>
      <c r="J14" s="1">
        <v>55</v>
      </c>
      <c r="K14" s="1">
        <v>1</v>
      </c>
      <c r="L14" s="2" t="s">
        <v>30</v>
      </c>
      <c r="M14" s="1">
        <v>600</v>
      </c>
    </row>
    <row r="15" spans="1:13" x14ac:dyDescent="0.2">
      <c r="B15" s="1">
        <v>11</v>
      </c>
      <c r="C15" s="1">
        <v>1003</v>
      </c>
      <c r="D15" s="1">
        <v>1</v>
      </c>
      <c r="E15" s="1">
        <f>40*D5*(D5-1)+200</f>
        <v>200</v>
      </c>
      <c r="F15" s="1">
        <f>_xlfn.FLOOR.MATH(2.5*D5*(D5-1)+25)</f>
        <v>25</v>
      </c>
      <c r="G15" s="1">
        <f>_xlfn.FLOOR.MATH(2.2*D5*(D5-1)+15)</f>
        <v>15</v>
      </c>
      <c r="H15" s="1">
        <f>_xlfn.FLOOR.MATH(15*D5*(D5-1)+60)</f>
        <v>60</v>
      </c>
      <c r="I15" s="1">
        <v>1</v>
      </c>
      <c r="J15" s="1">
        <v>40</v>
      </c>
      <c r="K15" s="1">
        <v>0.5</v>
      </c>
      <c r="L15" s="2" t="s">
        <v>32</v>
      </c>
      <c r="M15" s="1">
        <v>400</v>
      </c>
    </row>
    <row r="16" spans="1:13" x14ac:dyDescent="0.2">
      <c r="B16" s="1">
        <v>12</v>
      </c>
      <c r="C16" s="1">
        <v>1003</v>
      </c>
      <c r="D16" s="1">
        <v>2</v>
      </c>
      <c r="E16" s="1">
        <f t="shared" ref="E16:E19" si="9">40*D6*(D6-1)+200</f>
        <v>280</v>
      </c>
      <c r="F16" s="1">
        <f t="shared" ref="F16:F19" si="10">_xlfn.FLOOR.MATH(2.5*D6*(D6-1)+25)</f>
        <v>30</v>
      </c>
      <c r="G16" s="1">
        <f t="shared" ref="G16:G19" si="11">_xlfn.FLOOR.MATH(2.2*D6*(D6-1)+15)</f>
        <v>19</v>
      </c>
      <c r="H16" s="1">
        <f t="shared" ref="H16:H19" si="12">_xlfn.FLOOR.MATH(15*D6*(D6-1)+60)</f>
        <v>90</v>
      </c>
      <c r="I16" s="1">
        <v>1</v>
      </c>
      <c r="J16" s="1">
        <v>40</v>
      </c>
      <c r="K16" s="1">
        <v>0.5</v>
      </c>
      <c r="L16" s="2" t="s">
        <v>32</v>
      </c>
      <c r="M16" s="1">
        <v>500</v>
      </c>
    </row>
    <row r="17" spans="2:13" x14ac:dyDescent="0.2">
      <c r="B17" s="1">
        <v>13</v>
      </c>
      <c r="C17" s="1">
        <v>1003</v>
      </c>
      <c r="D17" s="1">
        <v>3</v>
      </c>
      <c r="E17" s="1">
        <f t="shared" si="9"/>
        <v>440</v>
      </c>
      <c r="F17" s="1">
        <f t="shared" si="10"/>
        <v>40</v>
      </c>
      <c r="G17" s="1">
        <f t="shared" si="11"/>
        <v>28</v>
      </c>
      <c r="H17" s="1">
        <f t="shared" si="12"/>
        <v>150</v>
      </c>
      <c r="I17" s="1">
        <v>1</v>
      </c>
      <c r="J17" s="1">
        <v>40</v>
      </c>
      <c r="K17" s="1">
        <v>0.5</v>
      </c>
      <c r="L17" s="2" t="s">
        <v>32</v>
      </c>
      <c r="M17" s="1">
        <v>600</v>
      </c>
    </row>
    <row r="18" spans="2:13" x14ac:dyDescent="0.2">
      <c r="B18" s="1">
        <v>14</v>
      </c>
      <c r="C18" s="1">
        <v>1003</v>
      </c>
      <c r="D18" s="1">
        <v>4</v>
      </c>
      <c r="E18" s="1">
        <f t="shared" si="9"/>
        <v>680</v>
      </c>
      <c r="F18" s="1">
        <f t="shared" si="10"/>
        <v>55</v>
      </c>
      <c r="G18" s="1">
        <f t="shared" si="11"/>
        <v>41</v>
      </c>
      <c r="H18" s="1">
        <f t="shared" si="12"/>
        <v>240</v>
      </c>
      <c r="I18" s="1">
        <v>1</v>
      </c>
      <c r="J18" s="1">
        <v>40</v>
      </c>
      <c r="K18" s="1">
        <v>0.5</v>
      </c>
      <c r="L18" s="2" t="s">
        <v>32</v>
      </c>
      <c r="M18" s="1">
        <v>750</v>
      </c>
    </row>
    <row r="19" spans="2:13" x14ac:dyDescent="0.2">
      <c r="B19" s="1">
        <v>15</v>
      </c>
      <c r="C19" s="1">
        <v>1003</v>
      </c>
      <c r="D19" s="1">
        <v>5</v>
      </c>
      <c r="E19" s="1">
        <f t="shared" si="9"/>
        <v>1000</v>
      </c>
      <c r="F19" s="1">
        <f t="shared" si="10"/>
        <v>75</v>
      </c>
      <c r="G19" s="1">
        <f t="shared" si="11"/>
        <v>59</v>
      </c>
      <c r="H19" s="1">
        <f t="shared" si="12"/>
        <v>360</v>
      </c>
      <c r="I19" s="1">
        <v>1</v>
      </c>
      <c r="J19" s="1">
        <v>40</v>
      </c>
      <c r="K19" s="1">
        <v>0.5</v>
      </c>
      <c r="L19" s="2" t="s">
        <v>32</v>
      </c>
      <c r="M19" s="1">
        <v>900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-鳴</dc:creator>
  <cp:lastModifiedBy>-鳴</cp:lastModifiedBy>
  <dcterms:created xsi:type="dcterms:W3CDTF">2015-06-05T18:19:34Z</dcterms:created>
  <dcterms:modified xsi:type="dcterms:W3CDTF">2022-09-07T08:16:57Z</dcterms:modified>
</cp:coreProperties>
</file>